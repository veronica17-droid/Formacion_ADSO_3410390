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13_ncr:1_{1D5895A8-9F5A-4FC4-9DAB-915BD47618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1" l="1"/>
  <c r="C82" i="1"/>
</calcChain>
</file>

<file path=xl/sharedStrings.xml><?xml version="1.0" encoding="utf-8"?>
<sst xmlns="http://schemas.openxmlformats.org/spreadsheetml/2006/main" count="154" uniqueCount="137">
  <si>
    <t>Codigo de competencia</t>
  </si>
  <si>
    <t>Unidad de competencia</t>
  </si>
  <si>
    <t>Nombre de competencia</t>
  </si>
  <si>
    <t>Horas</t>
  </si>
  <si>
    <t>Tipo de 
competencia</t>
  </si>
  <si>
    <t>Resultados de aprendizajes</t>
  </si>
  <si>
    <t>Trimestres
Incluidos</t>
  </si>
  <si>
    <t>Trimestre 
a evaluar</t>
  </si>
  <si>
    <t>DESARROLLAR LA SOLUCIÓN DE SOFTWARE DE ACUERDO CON EL DISEÑO Y
METODOLOGÍAS DE DESARROLLO</t>
  </si>
  <si>
    <t>CONSTRUCCIÓN 
DEL SOFTWARE.</t>
  </si>
  <si>
    <t>Técnica</t>
  </si>
  <si>
    <t>1 . PLANEAR ACTIVIDADES DE CONSTRUCCIÓN DEL SOFTWARE DE ACUERDO CON EL DISEÑO ESTABLECIDO.</t>
  </si>
  <si>
    <t>1, 6, 7</t>
  </si>
  <si>
    <t>2 . CONSTRUIR LA BASE DE DATOS PARA EL SOFTWARE A PARTIR DEL MODELO DE DATOS.</t>
  </si>
  <si>
    <t>4, 5, 6, 7</t>
  </si>
  <si>
    <t>3.  CREAR COMPONENTES FRONT-END DEL SOFTWARE DE ACUERDO CON EL DISEÑO.</t>
  </si>
  <si>
    <t>2, 6, 7</t>
  </si>
  <si>
    <t>4.  CODIFICAR EL SOFTWARE DE ACUERDO CON EL DISEÑO ESTABLECIDO.</t>
  </si>
  <si>
    <t>2, 4, 6, 7</t>
  </si>
  <si>
    <t>5.  REALIZAR PRUEBAS AL SOFTWARE PARA VERIFICAR SU FUNCIONALIDAD.</t>
  </si>
  <si>
    <t>Establecer requisitos de la solución de software de acuerdo con estándares y procedimiento técnico</t>
  </si>
  <si>
    <t>ESPECIFICACIÓN DE REQUISITOS 
DEL SOFTWARE</t>
  </si>
  <si>
    <t>1 . CARACTERIZAR LOS PROCESOS DE LA ORGANIZACION DE ACUERDO CON EL SOFTWARE A CONSTRUIR.</t>
  </si>
  <si>
    <t>2.  RECOLECTAR INFORMACION DEL SOFTWARE A CONSTRUIR DE ACUERDO CON LAS NECESIDADES DEL CLIENTE.</t>
  </si>
  <si>
    <t>3. ESTABLECER LOS REQUISITOS DEL SOFTWARE DE ACUERDO CON LA INFORMACION RECOLECTADA.</t>
  </si>
  <si>
    <t>4. VALIDAR EL INFORME DE REQUISITOS DE ACUERDO CON LAS NECESIDADES DEL CLIENTE.</t>
  </si>
  <si>
    <t>Evaluar requisitos de la 
solución de software de acuerdo con metodologías de análisis y estándares</t>
  </si>
  <si>
    <t>ANÁLISIS DE LA ESPECIFICACIÓN
 DE REQUISITOS DEL SOFTWARE</t>
  </si>
  <si>
    <t>1.  PLANEAR ACTIVIDADES DE ANÁLISIS DE ACUERDO CON LA METODOLOGÍA SELECCIONADA</t>
  </si>
  <si>
    <t>2.  MODELAR LAS FUNCIONES DEL SOFTWARE DE ACUERDO CON EL INFORME DE REQUISITOS</t>
  </si>
  <si>
    <t>3.  DESARROLLAR PROCESOS LÓGICOS A TRAVÉS DE LA IMPLEMENTACIÓN DE ALGORITMOS</t>
  </si>
  <si>
    <t>4. VERIFICAR LOS MODELOS REALIZADOS EN LA FASE DE ANÁLISIS DE ACUERDO CON LO ESTABLECIDO EN EL 
INFORME DE REQUISITOS.</t>
  </si>
  <si>
    <t>240201528</t>
  </si>
  <si>
    <t>Razonar cuantitativamente frente a situaciones susceptibles de ser abordadas de manera matemática
en contextos laborales, sociales y personales.</t>
  </si>
  <si>
    <t>MATEMÁTICAS</t>
  </si>
  <si>
    <t>Transversal</t>
  </si>
  <si>
    <t>1. IDENTIFICAR MODELOS MATEMÁTICOS DE ACUERDO CON LOS REQUERIMIENTOS DEL PROBLEMA PLANTEADO EN CONTEXTOS SOCIALES Y PRODUCTIVO.</t>
  </si>
  <si>
    <t>2. PLANTEAR PROBLEMAS MATEMÁTICOS A PARTIR DE SITUACIONES GENERADAS EN EL CONTEXTO SOCIAL Y 
PRODUCTIVO.</t>
  </si>
  <si>
    <t>3. RESOLVER PROBLEMAS MATEMÁTICOS A PARTIR DE SITUACIONES GENERADAS EN EL CONTEXTO SOCIAL Y
PRODUCTIVO.</t>
  </si>
  <si>
    <t>4. PROPONER ACCIONES DE MEJORA FRENTE A LOS RESULTADOS DE LOS PROCEDIMIENTOS MATEMÁTICOS DE
 ACUERDO CON EL PROBLEMA PLANTEADO.</t>
  </si>
  <si>
    <t>Resultado de Aprendizaje
 de la Inducción.</t>
  </si>
  <si>
    <t>INDUCCION</t>
  </si>
  <si>
    <t>1.  IDENTIFICAR LA DINÁMICA ORGANIZACIONAL DEL SENA Y EL ROL DE LA FORMACIÓN PROFESIONAL INTEGRAL
 DE ACUERDO CON SU PROYECTO DE VIDA Y EL DESARROLLO PROFESIONAL.</t>
  </si>
  <si>
    <t>INTERACTUAR EN LENGUA 
INGLESA DE FORMA ORAL Y ESCRITA DENTRO DE CONTEXTOS SOCIALES Y LABORALES SEGÚN LOS CRITERIOS ESTABLECIDOS POR EL MARCO COMÚN EUROPEO DE REFERENCIA PARA LAS LENGUAS.</t>
  </si>
  <si>
    <t>INGLES</t>
  </si>
  <si>
    <t>2.  INTERCAMBIAR OPINIONES SOBRE SITUACIONES COTIDIANAS Y LABORALES ACTUALES, PASADAS Y 
FUTURAS EN CONTEXTOS SOCIALES ORALES Y ESCRITOS.</t>
  </si>
  <si>
    <t>3. DISCUTIR SOBRE POSIBLES SOLUCIONES A PROBLEMAS DENTRO DE UN RANGO VARIADO DE CONTEXTOS 
SOCIALES Y LABORALES.</t>
  </si>
  <si>
    <t>4.  IMPLEMENTAR ACCIONES DE MEJORA RELACIONADAS CON EL USO DE EXPRESIONES, ESTRUCTURAS Y 
DESEMPEÑO SEGÚN LOS RESULTADOS DE APRENDIZAJE FORMULADOS PARA EL PROGRAMA.</t>
  </si>
  <si>
    <t>5.  PRESENTAR UN PROCESO PARA LA REALIZACION DE UNA ACTIVIDAD EN SU QUEHACER LABORAL DE
ACUERDO CON LOS PROCEDIMIENTOS ESTABLECIDOS DESDE SU PROGRAMA DE FORMACION.</t>
  </si>
  <si>
    <t>6. EXPLICAR LAS FUNCIONES DE SU OCUPACION LABORAL USANDO EXPRESIONES DE ACUERDO AL NIVEL
REQUERIDO POR EL PROGRAMA DE FORMACION.</t>
  </si>
  <si>
    <t>Orientar investigación formativa según referentes técnicos</t>
  </si>
  <si>
    <t>INVESTIGACION</t>
  </si>
  <si>
    <t>1.  ANALIZAR EL CONTEXTO PRODUCTIVO SEGÚN SUS CARACTERÍSTICAS Y NECESIDADES.</t>
  </si>
  <si>
    <t>2.  ESTRUCTURAR EL PROYECTO DE ACUERDO A CRITERIOS DE LA INVESTIGACION.</t>
  </si>
  <si>
    <t>3. ARGUMENTAR ASPECTOS TEÓRICOS DEL PROYECTO SEGÚN REFERENTES NACIONALES</t>
  </si>
  <si>
    <t>4. PROPONER SOLUCIONES A LAS NECESIDADES DEL CONTEXTO SEGÚN RESULTADOS DE LA</t>
  </si>
  <si>
    <t>APLICACIÓN DE 
CONOCIMIENTOS DE LAS CIENCIAS NATURALES DE ACUERDO CON
SITUACIONES DEL CONTEXTO PRODUCTIVO Y SOCIAL.</t>
  </si>
  <si>
    <t>FÍSICA</t>
  </si>
  <si>
    <t>1.  IDENTIFICAR LOS PRINCIPIOS Y LEYES DE LA FÍSICA EN LA SOLUCIÓN DE PROBLEMAS DE ACUERDO AL
 CONTEXTO PRODUCTIVO.</t>
  </si>
  <si>
    <t>2.  SOLUCIONAR PROBLEMAS ASOCIADOS CON EL SECTOR PRODUCTIVO CON BASE EN LOS PRINCIPIOS Y LEYES
 DE LA FÍSICA.</t>
  </si>
  <si>
    <t>3. VERIFICAR LAS TRANSFORMACIONES FÍSICAS DE LA MATERIA UTILIZANDO HERRAMIENTAS</t>
  </si>
  <si>
    <t>4. PROPONER ACCIONES DE MEJORA EN LOS PROCESOS PRODUCTIVOS DE ACUERDO CON LOS PRINCIPIOS Y
 LEYES DE LA FÍSICA.</t>
  </si>
  <si>
    <t>Diseñar la solución de 
software de acuerdo con procedimientos y requisitos técnicos</t>
  </si>
  <si>
    <t>MODELADO DE LOS
 ARTEFACTOS DEL SOFTWARE.</t>
  </si>
  <si>
    <t>1. ELABORAR LOS ARTEFACTOS DE DISEÑO DEL SOFTWARE SIGUIENDO LAS PRÁCTICAS DE LA METODOLOGÍA
 SELECCIONADA.</t>
  </si>
  <si>
    <t>2. ESTRUCTURAR EL MODELO DE DATOS DEL SOFTWARE DE ACUERDO CON LAS ESPECIFICACIONES DEL ANÁLISIS.</t>
  </si>
  <si>
    <t>3. DETERMINAR LAS CARACTERÍSTICAS TÉCNICAS DE LA INTERFAZ GRÁFICA DEL SOFTWARE ADOPTANDO ESTÁNDARES</t>
  </si>
  <si>
    <t>4. VERIFICAR LOS ENTREGABLES DE LA FASE DE DISEÑO DEL SOFTWARE DE ACUERDO CON LO ESTABLECIDO EN EL 
INFORME DE ANÁLISIS.</t>
  </si>
  <si>
    <t>Estructurar propuesta técnica de servicio de tecnología de la información según requisitos técnicos y
normativa</t>
  </si>
  <si>
    <t>ELABORACIÓN DE LA PROPUESTA TÉCNICA DEL SOFTWARE.</t>
  </si>
  <si>
    <t>1. DEFINIR ESPECIFICACIONES TÉCNICAS DEL SOFTWARE DE ACUERDO CON LAS CARACTERÍSTICAS DEL SOFTWARE
 A CONSTRUIR.</t>
  </si>
  <si>
    <t>2. ELABORAR PROPUESTA TÉCNICA DEL SOFTWARE DE ACUERDO CON LAS ESPECIFICACIONES TÉCNICAS DEFINIDAS.</t>
  </si>
  <si>
    <t>3.  VALIDAR LAS CONDICIONES DE LA PROPUESTA TÉCNICA DEL SOFTWARE DE ACUERDO CON LOS
INTERESES DE LAS PARTES.</t>
  </si>
  <si>
    <t>uuuuuuuuuuuuuuuu</t>
  </si>
  <si>
    <t>DESARROLLAR PROCESOS DE COMUNICACIÓN EFICACES Y EFECTIVOS, TENIENDO EN
CUENTA SITUACIONES  DE ORDEN SOCIAL, PERSONAL Y PRODUCTIVO.</t>
  </si>
  <si>
    <t>COMUNICACIÓN</t>
  </si>
  <si>
    <t>1. ANALIZAR LOS COMPONENTES DE LA COMUNICACIÓN SEGÚN SUS CARACTERÍSTICAS, INTENCIONALIDAD Y
 CONTEXTO.</t>
  </si>
  <si>
    <t>2. ARGUMENTAR EN FORMA ORAL Y ESCRITA ATENDIENDO LAS EXIGENCIAS Y PARTICULARIDADES DE LAS
 DIVERSAS SITUACIONES COMUNICATIVAS MEDIANTE LOS DISTINTOS SISTEMAS DE REPRESENTACION</t>
  </si>
  <si>
    <t>3. RELACIONAR LOS PROCESOS COMUNICATIVOS TENIENDO EN CUENTA CRITERIOS DE LOGICA Y RACIONALIDAD.</t>
  </si>
  <si>
    <t>4. ESTABLECER PROCESOS DE ENRIQUECIMIENTO LEXICAL Y ACCIONES DE MEJORAMIENTO EN EL DESARROLLO
 DE PROCESOS COMUNICATIVOS SEGÚN REQUERIMIENTOS DEL CONTEXTO.</t>
  </si>
  <si>
    <t>Enrique Low Murtra-Interactuar en el contexto productivo y social de acuerdo con principios  éticos
para la construcción de una cultura de paz.</t>
  </si>
  <si>
    <t>ETICA PARA LA CONSTRUCCIÓN
 DE UNA CULTURA DE PAZ</t>
  </si>
  <si>
    <t>1. PROMOVER MI DIGNIDAD Y LA DEL OTRO A PARTIR DE LOS PRINCIPIOS Y VALORES ÉTICOS COMO APORTE EN
LA INSTAURACIÓN DE UNA CULTURA DE PAZ.</t>
  </si>
  <si>
    <t>2. ESTABLECER RELACIONES DE CRECIMIENTO PERSONAL Y COMUNITARIO A PARTIR DEL BIEN COMÚN COMO
 APORTE PARA EL DESARROLLO SOCIAL.</t>
  </si>
  <si>
    <t>3. PROMOVER EL USO RACIONAL DE LOS RECURSOS NATURALES A PARTIR DE CRITERIOS DE SOSTENIBILIDAD
 Y SUSTENTABILIDAD ÉTICA Y NORMATIVA VIGENTE.</t>
  </si>
  <si>
    <t>4. CONTRIBUIR CON EL FORTALECIMIENTO DE LA CULTURA DE PAZ A PARTIR DE LA DIGNIDAD HUMANA Y LAS
ESTRATEGIAS PARA LA TRANSFORMACION DE CONFLICTOS.</t>
  </si>
  <si>
    <t>Controlar la calidad del 
servicio de software de acuerdo con los estándares técnicos</t>
  </si>
  <si>
    <t>ADOPCIÓN DE BUENAS
 PRÁCTICAS</t>
  </si>
  <si>
    <t>1. INCORPORAR ACTIVIDADES DE ASEGURAMIENTO DE LA CALIDAD DEL SOFTWARE DE ACUERDO CON ESTÁNDARES
 DE LA INDUSTRIA.</t>
  </si>
  <si>
    <t>2. VERIFICAR LA CALIDAD DEL SOFTWARE DE ACUERDO CON LAS PRÁCTICAS ASOCIADAS EN LOS PROCESOS DE
 DESARROLLO.</t>
  </si>
  <si>
    <t>3. REALIZAR ACTIVIDADES DE MEJORA DE LA CALIDAD DEL SOFTWARE A PARTIR DE LOS RESULTADOS DE LA
VERIFICACION.</t>
  </si>
  <si>
    <t>APLICAR PRÁCTICAS  DE PROTECCIÓN AMBIENTAL, SEGURIDAD Y SALUD EN EL TRABAJO
DE ACUERDO CON LAS POLÍTICAS ORGANIZACIONALES  Y LA NORMATIVIDAD VIGENTE.</t>
  </si>
  <si>
    <t>PROTECCIÓN PARA
 LA SALUD Y EL MEDIO AMBIENTE.</t>
  </si>
  <si>
    <t>1. ANALIZAR LAS ESTRATEGIAS PARA LA PREVENCION Y CONTROL DE LOS IMPACTOS AMBIENTALES Y DE ACCIDENTES Y ENFERMEDADES LABORALES (ATEL) DE ACUERDO CON LAS POLÍTICAS ORGANIZACIONALES Y
EL ENTORNO SOCIAL.</t>
  </si>
  <si>
    <t>2. IMPLEMENTAR ESTRATEGIAS PARA EL CONTROL DE LOS IMPACTOS AMBIENTALES Y DE LOS ACCIDENTES
 Y ENFERMEDADES DE ACUERDO CON LOS PLANES Y PROGRAMAS ESTABLECIDOS POR LA ORGANIZACION</t>
  </si>
  <si>
    <t>3.  REALIZAR SEGUIMIENTO Y ACOMPAÑAMIENTO AL DESARROLLO DE LOS PLANES Y PROGRAMAS
AMBIENTALES Y SST, SEGÚN EL  ÁREA DE DESEMPEÑO</t>
  </si>
  <si>
    <t>4.  PROPONER ACCIONES DE MEJORA PARA EL MANEJO AMBIENTAL Y EL CONTROL DE LA SST, DE ACUERDO
CON ESTRATEGIAS DE TRABAJO, COLABORATIVO, COOPERATIVO Y COORDINADO EN EL CONTEXTO
PRODUCTIVO Y SOCIAL.</t>
  </si>
  <si>
    <t>GENERAR HÁBITOS SALUDABLES DE VIDA MEDIANTE LA APLICACIÓN DE PROGRAMAS DE
ACTIVIDAD FÍSICA EN LOS CONTEXTOS PRODUCTIVOS Y SOCIALES.</t>
  </si>
  <si>
    <t>ACTIVIDAD FÍSICA
 Y HÁBITOS DE VIDA SALUDABLE</t>
  </si>
  <si>
    <t>1.  DESARROLLAR HABILIDADES PSICOMOTRICES EN EL CONTEXTO PRODUCTIVO Y SOCIAL.</t>
  </si>
  <si>
    <t>2.  PRACTICAR HÁBITOS SALUDABLES MEDIANTE LA APLICACIÓN DE  FUNDAMENTOS DE NUTRICIÓN</t>
  </si>
  <si>
    <t>3.  EJECUTAR ACTIVIDADES DE ACONDICIONAMIENTO FÍSICO ORIENTADAS HACIA EL MEJORAMIENTO DE LA
CONDICIÓN FÍSICA EN LOS CONTEXTOS PRODUCTIVO Y SOCIAL.</t>
  </si>
  <si>
    <t>4.  IMPLEMENTAR UN PLAN DE ERGONOMÍA Y PAUSAS ACTIVAS SEGÚN LAS CARACTERÍSTICAS DE LA
FUNCIÓN PRODUCTIVA.</t>
  </si>
  <si>
    <t>Gestionar procesos propios de la cultura emprendedora y empresarial de acuerdo con el perfil
personal y los requerimientos de los contextos productivo y social</t>
  </si>
  <si>
    <t>CULTURA EMPRENDEDORA
 Y EMPRESARIAL</t>
  </si>
  <si>
    <t>1.  INTEGRAR ELEMENTOS DE LA CULTURA EMPRENDEDORA TENIENDO EN CUENTA EL PERFIL PERSONAL Y
EL CONTEXTO DE DESARROLLO SOCIAL.</t>
  </si>
  <si>
    <t>2.  CARACTERIZAR LA IDEA DE NEGOCIO TENIENDO EN CUENTA LAS OPORTUNIDADES Y NECESIDADES DEL
SECTOR PRODUCTIVO Y SOCIAL.</t>
  </si>
  <si>
    <t>3.  ESTRUCTURAR EL PLAN DE NEGOCIO DE ACUERDO CON LAS CARACTERÍSTICAS EMPRESARIALES Y
TENDENCIAS DE MERCADO</t>
  </si>
  <si>
    <t>4.  VALORAR LA PROPUESTA DE NEGOCIO CONFORME CON SU ESTRUCTURA Y NECESIDADES DEL SECTOR
PRODUCTIVO Y SOCIAL.</t>
  </si>
  <si>
    <t>Ejercer derechos fundamentales del trabajo en el marco de la constitución política y los convenios
internacionales.</t>
  </si>
  <si>
    <t>Ejercer derechos
 fundamentales del trabajo en el marco de la constitución política y los convenios
internacionales.</t>
  </si>
  <si>
    <t>1. Reconocer el trabajo como factor de movilidad social y transformación vital con referencia a la fenomenología y a los
derechos fundamentales en el trabajo.</t>
  </si>
  <si>
    <t>2.  Valorar la importancia de la ciudadanía laboral con base en el estudio de los derechos humanos y fundamentales en eltrabajo.</t>
  </si>
  <si>
    <t>3.  Practicar los derechos fundamentales en el trabajo de acuerdo con la Constitución Política y los Convenios
Internacionales.</t>
  </si>
  <si>
    <t>4.  Participar en acciones solidarias teniendo en cuenta el ejercicio de los derechos humanos, de los pueblos y de la naturaleza</t>
  </si>
  <si>
    <t>Implementar la solución de software de acuerdo con los requisitos de operación y modelos de
referencia</t>
  </si>
  <si>
    <t>IMPLANTACION DEL SOFTWARE</t>
  </si>
  <si>
    <t>1.  PLANEAR ACTIVIDADES DE IMPLANTACIÓN DEL SOFTWARE DE ACUERDO CON LAS CONDICIONES DEL
SISTEMA.</t>
  </si>
  <si>
    <t>2.  DESPLEGAR EL SOFTWARE DE ACUERDO CON LA ARQUITECTURA Y LAS POLÍTICAS ESTABLECIDAS.</t>
  </si>
  <si>
    <t>3.  DOCUMENTAR EL PROCESO DE IMPLANTACIÓN DE SOFTWARE SIGUIENDO ESTÁNDARES DE CALIDAD.</t>
  </si>
  <si>
    <t>4.  IMPLANTAR EL SOFTWARE DE ACUERDO CON LOS NIVELES DE SERVICIO ESTABLECIDOS CON EL CLIENTE.</t>
  </si>
  <si>
    <t>1. COMPRENDER INFORMACIÓN SOBRE SITUACIONES COTIDIANAS Y LABORALES ACTUALES Y FUTURAS A
TRAVÉS DE INTERACCIONES SOCIALES DE FORMA ORAL Y ESCRITA.</t>
  </si>
  <si>
    <t>5, 6</t>
  </si>
  <si>
    <t>Ingles</t>
  </si>
  <si>
    <t xml:space="preserve">COMPETENCIAS TECNICAS </t>
  </si>
  <si>
    <t xml:space="preserve">CANTIDAD DE
 COMPETENCIAS </t>
  </si>
  <si>
    <t xml:space="preserve">TECNICAS </t>
  </si>
  <si>
    <t xml:space="preserve">INGLES </t>
  </si>
  <si>
    <t>TRANSVERSAL</t>
  </si>
  <si>
    <t>1. ALISTAR HERRAMIENTAS DE TECNOLOGÍAS DE LA INFORMACIÓN Y LA COMUNICACIÓN (TIC), DE ACUERDO
CON LAS NECESIDADES DE PROCESAMIENTO DE INFORMACIÓN Y COMUNICACIÓN</t>
  </si>
  <si>
    <t>2. APLICAR FUNCIONALIDADES DE HERRAMIENTAS Y SERVICIOS TIC, DE ACUERDO CON MANUALES DE USO,
PROCEDIMIENTOS ESTABLECIDOS Y BUENAS PRÁCTICAS.</t>
  </si>
  <si>
    <t>3. EVALUAR LOS RESULTADOS, DE ACUERDO CON LOS REQUERIMIENTOS.</t>
  </si>
  <si>
    <t>4. OPTIMIZAR LOS RESULTADOS, DE ACUERDO CON LA VERIFICACIÓN.</t>
  </si>
  <si>
    <t>TIC</t>
  </si>
  <si>
    <t>Utilizar herramientas informáticas de acuerdo con las necesidades de manejo de información</t>
  </si>
  <si>
    <t>HORAS</t>
  </si>
  <si>
    <t>PRACTICAS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</si>
</sst>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5050"/>
      <color rgb="FFFF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	Horas</a:t>
            </a:r>
            <a:r>
              <a:rPr lang="es-CO" baseline="0"/>
              <a:t> por competencia</a:t>
            </a:r>
            <a:endParaRPr lang="es-CO"/>
          </a:p>
        </c:rich>
      </c:tx>
      <c:layout>
        <c:manualLayout>
          <c:xMode val="edge"/>
          <c:yMode val="edge"/>
          <c:x val="8.763188976377953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(Sheet1!$A$81,Sheet1!$A$82,Sheet1!$A$83)</c:f>
              <c:strCache>
                <c:ptCount val="3"/>
                <c:pt idx="0">
                  <c:v>TECNICAS </c:v>
                </c:pt>
                <c:pt idx="1">
                  <c:v>TRANSVERSAL</c:v>
                </c:pt>
                <c:pt idx="2">
                  <c:v>INGLES </c:v>
                </c:pt>
              </c:strCache>
            </c:strRef>
          </c:cat>
          <c:val>
            <c:numRef>
              <c:f>(Sheet1!$C$81,Sheet1!$C$82,Sheet1!$C$83)</c:f>
              <c:numCache>
                <c:formatCode>General</c:formatCode>
                <c:ptCount val="3"/>
                <c:pt idx="0">
                  <c:v>2208</c:v>
                </c:pt>
                <c:pt idx="1">
                  <c:v>576</c:v>
                </c:pt>
                <c:pt idx="2">
                  <c:v>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F-46CC-A552-EBF8FC64FCF5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Competencia</a:t>
            </a:r>
            <a:r>
              <a:rPr lang="es-CO" baseline="0"/>
              <a:t> por cantidad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(Sheet1!$A$81,Sheet1!$A$82,Sheet1!$A$83)</c:f>
              <c:strCache>
                <c:ptCount val="3"/>
                <c:pt idx="0">
                  <c:v>TECNICAS </c:v>
                </c:pt>
                <c:pt idx="1">
                  <c:v>TRANSVERSAL</c:v>
                </c:pt>
                <c:pt idx="2">
                  <c:v>INGLES </c:v>
                </c:pt>
              </c:strCache>
            </c:strRef>
          </c:cat>
          <c:val>
            <c:numRef>
              <c:f>(Sheet1!$B$81,Sheet1!$B$82,Sheet1!$B$83)</c:f>
              <c:numCache>
                <c:formatCode>General</c:formatCode>
                <c:ptCount val="3"/>
                <c:pt idx="0">
                  <c:v>7</c:v>
                </c:pt>
                <c:pt idx="1">
                  <c:v>11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F-4218-ADA1-F326C1A48D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85</xdr:row>
      <xdr:rowOff>157162</xdr:rowOff>
    </xdr:from>
    <xdr:to>
      <xdr:col>2</xdr:col>
      <xdr:colOff>1009650</xdr:colOff>
      <xdr:row>100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357BE0-A981-E279-10C0-ADE7C8099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85</xdr:row>
      <xdr:rowOff>100012</xdr:rowOff>
    </xdr:from>
    <xdr:to>
      <xdr:col>5</xdr:col>
      <xdr:colOff>3333750</xdr:colOff>
      <xdr:row>99</xdr:row>
      <xdr:rowOff>176212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66ACB4-07E0-E180-29C1-CFC126297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85"/>
  <sheetViews>
    <sheetView tabSelected="1" topLeftCell="A72" zoomScaleNormal="100" workbookViewId="0">
      <selection activeCell="F84" sqref="F84"/>
    </sheetView>
  </sheetViews>
  <sheetFormatPr baseColWidth="10" defaultColWidth="9.140625" defaultRowHeight="15"/>
  <cols>
    <col min="1" max="1" width="31.7109375" customWidth="1"/>
    <col min="2" max="2" width="28" customWidth="1"/>
    <col min="3" max="3" width="23.5703125" customWidth="1"/>
    <col min="5" max="5" width="15.7109375" customWidth="1"/>
    <col min="6" max="6" width="124.28515625" customWidth="1"/>
    <col min="7" max="7" width="11.28515625" customWidth="1"/>
    <col min="8" max="8" width="12" customWidth="1"/>
  </cols>
  <sheetData>
    <row r="2" spans="1:8" ht="30">
      <c r="A2" s="8" t="s">
        <v>0</v>
      </c>
      <c r="B2" s="8" t="s">
        <v>1</v>
      </c>
      <c r="C2" s="8" t="s">
        <v>2</v>
      </c>
      <c r="D2" s="8" t="s">
        <v>3</v>
      </c>
      <c r="E2" s="9" t="s">
        <v>4</v>
      </c>
      <c r="F2" s="8" t="s">
        <v>5</v>
      </c>
      <c r="G2" s="9" t="s">
        <v>6</v>
      </c>
      <c r="H2" s="9" t="s">
        <v>7</v>
      </c>
    </row>
    <row r="3" spans="1:8">
      <c r="A3" s="21">
        <v>220501096</v>
      </c>
      <c r="B3" s="53" t="s">
        <v>8</v>
      </c>
      <c r="C3" s="45" t="s">
        <v>9</v>
      </c>
      <c r="D3" s="21">
        <v>1008</v>
      </c>
      <c r="E3" s="35" t="s">
        <v>10</v>
      </c>
      <c r="F3" s="2" t="s">
        <v>11</v>
      </c>
      <c r="G3" s="1" t="s">
        <v>12</v>
      </c>
      <c r="H3" s="1">
        <v>7</v>
      </c>
    </row>
    <row r="4" spans="1:8">
      <c r="A4" s="21"/>
      <c r="B4" s="53"/>
      <c r="C4" s="45"/>
      <c r="D4" s="21"/>
      <c r="E4" s="35"/>
      <c r="F4" s="2" t="s">
        <v>13</v>
      </c>
      <c r="G4" s="1" t="s">
        <v>14</v>
      </c>
      <c r="H4" s="1">
        <v>7</v>
      </c>
    </row>
    <row r="5" spans="1:8">
      <c r="A5" s="21"/>
      <c r="B5" s="53"/>
      <c r="C5" s="45"/>
      <c r="D5" s="21"/>
      <c r="E5" s="35"/>
      <c r="F5" s="2" t="s">
        <v>15</v>
      </c>
      <c r="G5" s="1" t="s">
        <v>16</v>
      </c>
      <c r="H5" s="1">
        <v>7</v>
      </c>
    </row>
    <row r="6" spans="1:8">
      <c r="A6" s="21"/>
      <c r="B6" s="53"/>
      <c r="C6" s="45"/>
      <c r="D6" s="21"/>
      <c r="E6" s="35"/>
      <c r="F6" s="2" t="s">
        <v>17</v>
      </c>
      <c r="G6" s="1" t="s">
        <v>18</v>
      </c>
      <c r="H6" s="1">
        <v>7</v>
      </c>
    </row>
    <row r="7" spans="1:8">
      <c r="A7" s="21"/>
      <c r="B7" s="53"/>
      <c r="C7" s="45"/>
      <c r="D7" s="21"/>
      <c r="E7" s="35"/>
      <c r="F7" s="2" t="s">
        <v>19</v>
      </c>
      <c r="G7" s="1">
        <v>6</v>
      </c>
      <c r="H7" s="1">
        <v>6</v>
      </c>
    </row>
    <row r="8" spans="1:8">
      <c r="A8" s="44">
        <v>220501092</v>
      </c>
      <c r="B8" s="46" t="s">
        <v>20</v>
      </c>
      <c r="C8" s="46" t="s">
        <v>21</v>
      </c>
      <c r="D8" s="44">
        <v>144</v>
      </c>
      <c r="E8" s="36" t="s">
        <v>10</v>
      </c>
      <c r="F8" s="4" t="s">
        <v>22</v>
      </c>
      <c r="G8" s="3">
        <v>1</v>
      </c>
      <c r="H8" s="3">
        <v>1</v>
      </c>
    </row>
    <row r="9" spans="1:8">
      <c r="A9" s="44"/>
      <c r="B9" s="46"/>
      <c r="C9" s="36"/>
      <c r="D9" s="44"/>
      <c r="E9" s="36"/>
      <c r="F9" s="4" t="s">
        <v>23</v>
      </c>
      <c r="G9" s="3">
        <v>1</v>
      </c>
      <c r="H9" s="3">
        <v>1</v>
      </c>
    </row>
    <row r="10" spans="1:8">
      <c r="A10" s="44"/>
      <c r="B10" s="46"/>
      <c r="C10" s="36"/>
      <c r="D10" s="44"/>
      <c r="E10" s="36"/>
      <c r="F10" s="4" t="s">
        <v>24</v>
      </c>
      <c r="G10" s="3">
        <v>1</v>
      </c>
      <c r="H10" s="3">
        <v>1</v>
      </c>
    </row>
    <row r="11" spans="1:8">
      <c r="A11" s="44"/>
      <c r="B11" s="46"/>
      <c r="C11" s="36"/>
      <c r="D11" s="44"/>
      <c r="E11" s="36"/>
      <c r="F11" s="4" t="s">
        <v>25</v>
      </c>
      <c r="G11" s="3">
        <v>1</v>
      </c>
      <c r="H11" s="3">
        <v>1</v>
      </c>
    </row>
    <row r="12" spans="1:8">
      <c r="A12" s="21">
        <v>220501093</v>
      </c>
      <c r="B12" s="47" t="s">
        <v>26</v>
      </c>
      <c r="C12" s="47" t="s">
        <v>27</v>
      </c>
      <c r="D12" s="21">
        <v>288</v>
      </c>
      <c r="E12" s="37" t="s">
        <v>10</v>
      </c>
      <c r="F12" s="2" t="s">
        <v>28</v>
      </c>
      <c r="G12" s="1">
        <v>2</v>
      </c>
      <c r="H12" s="1">
        <v>2</v>
      </c>
    </row>
    <row r="13" spans="1:8">
      <c r="A13" s="21"/>
      <c r="B13" s="37"/>
      <c r="C13" s="37"/>
      <c r="D13" s="21"/>
      <c r="E13" s="37"/>
      <c r="F13" s="2" t="s">
        <v>29</v>
      </c>
      <c r="G13" s="1">
        <v>2</v>
      </c>
      <c r="H13" s="1">
        <v>2</v>
      </c>
    </row>
    <row r="14" spans="1:8">
      <c r="A14" s="21"/>
      <c r="B14" s="37"/>
      <c r="C14" s="37"/>
      <c r="D14" s="21"/>
      <c r="E14" s="37"/>
      <c r="F14" s="2" t="s">
        <v>30</v>
      </c>
      <c r="G14" s="1">
        <v>1</v>
      </c>
      <c r="H14" s="1">
        <v>1</v>
      </c>
    </row>
    <row r="15" spans="1:8" ht="30">
      <c r="A15" s="21"/>
      <c r="B15" s="37"/>
      <c r="C15" s="37"/>
      <c r="D15" s="21"/>
      <c r="E15" s="37"/>
      <c r="F15" s="5" t="s">
        <v>31</v>
      </c>
      <c r="G15" s="1">
        <v>3</v>
      </c>
      <c r="H15" s="1">
        <v>3</v>
      </c>
    </row>
    <row r="16" spans="1:8" ht="30">
      <c r="A16" s="59" t="s">
        <v>32</v>
      </c>
      <c r="B16" s="54" t="s">
        <v>33</v>
      </c>
      <c r="C16" s="38" t="s">
        <v>34</v>
      </c>
      <c r="D16" s="21">
        <v>48</v>
      </c>
      <c r="E16" s="38" t="s">
        <v>35</v>
      </c>
      <c r="F16" s="5" t="s">
        <v>36</v>
      </c>
      <c r="G16" s="1">
        <v>1</v>
      </c>
      <c r="H16" s="1">
        <v>1</v>
      </c>
    </row>
    <row r="17" spans="1:8" ht="30">
      <c r="A17" s="21"/>
      <c r="B17" s="54"/>
      <c r="C17" s="38"/>
      <c r="D17" s="21"/>
      <c r="E17" s="38"/>
      <c r="F17" s="5" t="s">
        <v>37</v>
      </c>
      <c r="G17" s="1">
        <v>1</v>
      </c>
      <c r="H17" s="1">
        <v>1</v>
      </c>
    </row>
    <row r="18" spans="1:8" ht="30">
      <c r="A18" s="21"/>
      <c r="B18" s="54"/>
      <c r="C18" s="38"/>
      <c r="D18" s="21"/>
      <c r="E18" s="38"/>
      <c r="F18" s="5" t="s">
        <v>38</v>
      </c>
      <c r="G18" s="1">
        <v>1</v>
      </c>
      <c r="H18" s="1">
        <v>1</v>
      </c>
    </row>
    <row r="19" spans="1:8" ht="30">
      <c r="A19" s="21"/>
      <c r="B19" s="54"/>
      <c r="C19" s="38"/>
      <c r="D19" s="21"/>
      <c r="E19" s="38"/>
      <c r="F19" s="5" t="s">
        <v>39</v>
      </c>
      <c r="G19" s="1">
        <v>1</v>
      </c>
      <c r="H19" s="1">
        <v>1</v>
      </c>
    </row>
    <row r="20" spans="1:8" ht="30">
      <c r="A20" s="1">
        <v>240201530</v>
      </c>
      <c r="B20" s="6" t="s">
        <v>40</v>
      </c>
      <c r="C20" s="7" t="s">
        <v>41</v>
      </c>
      <c r="D20" s="1">
        <v>48</v>
      </c>
      <c r="E20" s="7" t="s">
        <v>35</v>
      </c>
      <c r="F20" s="5" t="s">
        <v>42</v>
      </c>
      <c r="G20" s="1">
        <v>1</v>
      </c>
      <c r="H20" s="1">
        <v>1</v>
      </c>
    </row>
    <row r="21" spans="1:8" ht="30">
      <c r="A21" s="21">
        <v>240202501</v>
      </c>
      <c r="B21" s="55" t="s">
        <v>43</v>
      </c>
      <c r="C21" s="39" t="s">
        <v>44</v>
      </c>
      <c r="D21" s="21">
        <v>384</v>
      </c>
      <c r="E21" s="39" t="s">
        <v>123</v>
      </c>
      <c r="F21" s="5" t="s">
        <v>121</v>
      </c>
      <c r="G21" s="1">
        <v>1</v>
      </c>
      <c r="H21" s="1">
        <v>1</v>
      </c>
    </row>
    <row r="22" spans="1:8" ht="30">
      <c r="A22" s="21"/>
      <c r="B22" s="39"/>
      <c r="C22" s="39"/>
      <c r="D22" s="21"/>
      <c r="E22" s="39"/>
      <c r="F22" s="5" t="s">
        <v>45</v>
      </c>
      <c r="G22" s="1">
        <v>3</v>
      </c>
      <c r="H22" s="1">
        <v>3</v>
      </c>
    </row>
    <row r="23" spans="1:8" ht="30">
      <c r="A23" s="21"/>
      <c r="B23" s="39"/>
      <c r="C23" s="39"/>
      <c r="D23" s="21"/>
      <c r="E23" s="39"/>
      <c r="F23" s="5" t="s">
        <v>46</v>
      </c>
      <c r="G23" s="1">
        <v>7</v>
      </c>
      <c r="H23" s="1">
        <v>7</v>
      </c>
    </row>
    <row r="24" spans="1:8" ht="30">
      <c r="A24" s="21"/>
      <c r="B24" s="39"/>
      <c r="C24" s="39"/>
      <c r="D24" s="21"/>
      <c r="E24" s="39"/>
      <c r="F24" s="5" t="s">
        <v>47</v>
      </c>
      <c r="G24" s="1">
        <v>4</v>
      </c>
      <c r="H24" s="1">
        <v>4</v>
      </c>
    </row>
    <row r="25" spans="1:8" ht="30">
      <c r="A25" s="21"/>
      <c r="B25" s="39"/>
      <c r="C25" s="39"/>
      <c r="D25" s="21"/>
      <c r="E25" s="39"/>
      <c r="F25" s="5" t="s">
        <v>48</v>
      </c>
      <c r="G25" s="1" t="s">
        <v>122</v>
      </c>
      <c r="H25" s="1">
        <v>6</v>
      </c>
    </row>
    <row r="26" spans="1:8" ht="30">
      <c r="A26" s="21"/>
      <c r="B26" s="39"/>
      <c r="C26" s="39"/>
      <c r="D26" s="21"/>
      <c r="E26" s="39"/>
      <c r="F26" s="5" t="s">
        <v>49</v>
      </c>
      <c r="G26" s="1">
        <v>2</v>
      </c>
      <c r="H26" s="1">
        <v>2</v>
      </c>
    </row>
    <row r="27" spans="1:8">
      <c r="A27" s="21">
        <v>240201064</v>
      </c>
      <c r="B27" s="56" t="s">
        <v>50</v>
      </c>
      <c r="C27" s="30" t="s">
        <v>51</v>
      </c>
      <c r="D27" s="21">
        <v>48</v>
      </c>
      <c r="E27" s="30" t="s">
        <v>35</v>
      </c>
      <c r="F27" s="2" t="s">
        <v>52</v>
      </c>
      <c r="G27" s="1">
        <v>2</v>
      </c>
      <c r="H27" s="1">
        <v>2</v>
      </c>
    </row>
    <row r="28" spans="1:8">
      <c r="A28" s="21"/>
      <c r="B28" s="30"/>
      <c r="C28" s="30"/>
      <c r="D28" s="21"/>
      <c r="E28" s="30"/>
      <c r="F28" s="2" t="s">
        <v>53</v>
      </c>
      <c r="G28" s="1">
        <v>2</v>
      </c>
      <c r="H28" s="1">
        <v>2</v>
      </c>
    </row>
    <row r="29" spans="1:8">
      <c r="A29" s="21"/>
      <c r="B29" s="30"/>
      <c r="C29" s="30"/>
      <c r="D29" s="21"/>
      <c r="E29" s="30"/>
      <c r="F29" s="2" t="s">
        <v>54</v>
      </c>
      <c r="G29" s="1">
        <v>2</v>
      </c>
      <c r="H29" s="1">
        <v>2</v>
      </c>
    </row>
    <row r="30" spans="1:8">
      <c r="A30" s="21"/>
      <c r="B30" s="30"/>
      <c r="C30" s="30"/>
      <c r="D30" s="21"/>
      <c r="E30" s="30"/>
      <c r="F30" s="2" t="s">
        <v>55</v>
      </c>
      <c r="G30" s="1">
        <v>2</v>
      </c>
      <c r="H30" s="1">
        <v>2</v>
      </c>
    </row>
    <row r="31" spans="1:8" ht="30">
      <c r="A31" s="21">
        <v>220201501</v>
      </c>
      <c r="B31" s="57" t="s">
        <v>56</v>
      </c>
      <c r="C31" s="31" t="s">
        <v>57</v>
      </c>
      <c r="D31" s="21">
        <v>48</v>
      </c>
      <c r="E31" s="31" t="s">
        <v>35</v>
      </c>
      <c r="F31" s="5" t="s">
        <v>58</v>
      </c>
      <c r="G31" s="1">
        <v>2</v>
      </c>
      <c r="H31" s="1">
        <v>2</v>
      </c>
    </row>
    <row r="32" spans="1:8" ht="30">
      <c r="A32" s="21"/>
      <c r="B32" s="31"/>
      <c r="C32" s="31"/>
      <c r="D32" s="21"/>
      <c r="E32" s="31"/>
      <c r="F32" s="5" t="s">
        <v>59</v>
      </c>
      <c r="G32" s="1">
        <v>2</v>
      </c>
      <c r="H32" s="1">
        <v>2</v>
      </c>
    </row>
    <row r="33" spans="1:35">
      <c r="A33" s="21"/>
      <c r="B33" s="31"/>
      <c r="C33" s="31"/>
      <c r="D33" s="21"/>
      <c r="E33" s="31"/>
      <c r="F33" s="2" t="s">
        <v>60</v>
      </c>
      <c r="G33" s="1">
        <v>2</v>
      </c>
      <c r="H33" s="1">
        <v>2</v>
      </c>
    </row>
    <row r="34" spans="1:35" ht="30">
      <c r="A34" s="21"/>
      <c r="B34" s="31"/>
      <c r="C34" s="31"/>
      <c r="D34" s="21"/>
      <c r="E34" s="31"/>
      <c r="F34" s="5" t="s">
        <v>61</v>
      </c>
      <c r="G34" s="1">
        <v>2</v>
      </c>
      <c r="H34" s="1">
        <v>2</v>
      </c>
    </row>
    <row r="35" spans="1:35" ht="30">
      <c r="A35" s="21">
        <v>220501095</v>
      </c>
      <c r="B35" s="48" t="s">
        <v>62</v>
      </c>
      <c r="C35" s="48" t="s">
        <v>63</v>
      </c>
      <c r="D35" s="21">
        <v>336</v>
      </c>
      <c r="E35" s="32" t="s">
        <v>10</v>
      </c>
      <c r="F35" s="5" t="s">
        <v>64</v>
      </c>
      <c r="G35" s="1">
        <v>3</v>
      </c>
      <c r="H35" s="1">
        <v>3</v>
      </c>
    </row>
    <row r="36" spans="1:35">
      <c r="A36" s="21"/>
      <c r="B36" s="32"/>
      <c r="C36" s="32"/>
      <c r="D36" s="21"/>
      <c r="E36" s="32"/>
      <c r="F36" s="2" t="s">
        <v>65</v>
      </c>
      <c r="G36" s="1">
        <v>3</v>
      </c>
      <c r="H36" s="1">
        <v>3</v>
      </c>
    </row>
    <row r="37" spans="1:35">
      <c r="A37" s="21"/>
      <c r="B37" s="32"/>
      <c r="C37" s="32"/>
      <c r="D37" s="21"/>
      <c r="E37" s="32"/>
      <c r="F37" s="2" t="s">
        <v>66</v>
      </c>
      <c r="G37" s="1">
        <v>4</v>
      </c>
      <c r="H37" s="1">
        <v>4</v>
      </c>
    </row>
    <row r="38" spans="1:35" ht="30">
      <c r="A38" s="21"/>
      <c r="B38" s="32"/>
      <c r="C38" s="32"/>
      <c r="D38" s="21"/>
      <c r="E38" s="32"/>
      <c r="F38" s="5" t="s">
        <v>67</v>
      </c>
      <c r="G38" s="1">
        <v>5</v>
      </c>
      <c r="H38" s="1">
        <v>5</v>
      </c>
    </row>
    <row r="39" spans="1:35" ht="30">
      <c r="A39" s="21">
        <v>220501094</v>
      </c>
      <c r="B39" s="49" t="s">
        <v>68</v>
      </c>
      <c r="C39" s="49" t="s">
        <v>69</v>
      </c>
      <c r="D39" s="21">
        <v>144</v>
      </c>
      <c r="E39" s="33" t="s">
        <v>10</v>
      </c>
      <c r="F39" s="5" t="s">
        <v>70</v>
      </c>
      <c r="G39" s="1">
        <v>3</v>
      </c>
      <c r="H39" s="1">
        <v>3</v>
      </c>
    </row>
    <row r="40" spans="1:35">
      <c r="A40" s="21"/>
      <c r="B40" s="33"/>
      <c r="C40" s="33"/>
      <c r="D40" s="21"/>
      <c r="E40" s="33"/>
      <c r="F40" s="2" t="s">
        <v>71</v>
      </c>
      <c r="G40" s="1">
        <v>4</v>
      </c>
      <c r="H40" s="1">
        <v>4</v>
      </c>
    </row>
    <row r="41" spans="1:35" ht="30">
      <c r="A41" s="21"/>
      <c r="B41" s="33"/>
      <c r="C41" s="33"/>
      <c r="D41" s="21"/>
      <c r="E41" s="33"/>
      <c r="F41" s="5" t="s">
        <v>72</v>
      </c>
      <c r="G41" s="1">
        <v>5</v>
      </c>
      <c r="H41" s="1">
        <v>5</v>
      </c>
      <c r="AI41" t="s">
        <v>73</v>
      </c>
    </row>
    <row r="42" spans="1:35" ht="30">
      <c r="A42" s="21">
        <v>240201524</v>
      </c>
      <c r="B42" s="58" t="s">
        <v>74</v>
      </c>
      <c r="C42" s="34" t="s">
        <v>75</v>
      </c>
      <c r="D42" s="21">
        <v>48</v>
      </c>
      <c r="E42" s="34" t="s">
        <v>35</v>
      </c>
      <c r="F42" s="5" t="s">
        <v>76</v>
      </c>
      <c r="G42" s="1">
        <v>3</v>
      </c>
      <c r="H42" s="1">
        <v>3</v>
      </c>
    </row>
    <row r="43" spans="1:35" ht="30">
      <c r="A43" s="21"/>
      <c r="B43" s="34"/>
      <c r="C43" s="34"/>
      <c r="D43" s="21"/>
      <c r="E43" s="34"/>
      <c r="F43" s="5" t="s">
        <v>77</v>
      </c>
      <c r="G43" s="1">
        <v>3</v>
      </c>
      <c r="H43" s="1">
        <v>3</v>
      </c>
    </row>
    <row r="44" spans="1:35">
      <c r="A44" s="21"/>
      <c r="B44" s="34"/>
      <c r="C44" s="34"/>
      <c r="D44" s="21"/>
      <c r="E44" s="34"/>
      <c r="F44" s="2" t="s">
        <v>78</v>
      </c>
      <c r="G44" s="1">
        <v>3</v>
      </c>
      <c r="H44" s="1">
        <v>3</v>
      </c>
    </row>
    <row r="45" spans="1:35" ht="30">
      <c r="A45" s="21"/>
      <c r="B45" s="34"/>
      <c r="C45" s="34"/>
      <c r="D45" s="21"/>
      <c r="E45" s="34"/>
      <c r="F45" s="5" t="s">
        <v>79</v>
      </c>
      <c r="G45" s="1">
        <v>3</v>
      </c>
      <c r="H45" s="1">
        <v>3</v>
      </c>
    </row>
    <row r="46" spans="1:35" ht="30">
      <c r="A46" s="21">
        <v>240201526</v>
      </c>
      <c r="B46" s="50" t="s">
        <v>80</v>
      </c>
      <c r="C46" s="50" t="s">
        <v>81</v>
      </c>
      <c r="D46" s="21">
        <v>48</v>
      </c>
      <c r="E46" s="25" t="s">
        <v>35</v>
      </c>
      <c r="F46" s="5" t="s">
        <v>82</v>
      </c>
      <c r="G46" s="1">
        <v>3</v>
      </c>
      <c r="H46" s="1">
        <v>3</v>
      </c>
    </row>
    <row r="47" spans="1:35" ht="30">
      <c r="A47" s="21"/>
      <c r="B47" s="25"/>
      <c r="C47" s="25"/>
      <c r="D47" s="21"/>
      <c r="E47" s="25"/>
      <c r="F47" s="5" t="s">
        <v>83</v>
      </c>
      <c r="G47" s="1">
        <v>3</v>
      </c>
      <c r="H47" s="1">
        <v>3</v>
      </c>
    </row>
    <row r="48" spans="1:35" ht="30">
      <c r="A48" s="21"/>
      <c r="B48" s="25"/>
      <c r="C48" s="25"/>
      <c r="D48" s="21"/>
      <c r="E48" s="25"/>
      <c r="F48" s="5" t="s">
        <v>84</v>
      </c>
      <c r="G48" s="1">
        <v>3</v>
      </c>
      <c r="H48" s="1">
        <v>3</v>
      </c>
    </row>
    <row r="49" spans="1:8" ht="30">
      <c r="A49" s="21"/>
      <c r="B49" s="25"/>
      <c r="C49" s="25"/>
      <c r="D49" s="21"/>
      <c r="E49" s="25"/>
      <c r="F49" s="5" t="s">
        <v>85</v>
      </c>
      <c r="G49" s="1">
        <v>3</v>
      </c>
      <c r="H49" s="1">
        <v>3</v>
      </c>
    </row>
    <row r="50" spans="1:8" ht="30">
      <c r="A50" s="59">
        <v>220501098</v>
      </c>
      <c r="B50" s="51" t="s">
        <v>86</v>
      </c>
      <c r="C50" s="51" t="s">
        <v>87</v>
      </c>
      <c r="D50" s="21">
        <v>144</v>
      </c>
      <c r="E50" s="26" t="s">
        <v>10</v>
      </c>
      <c r="F50" s="5" t="s">
        <v>88</v>
      </c>
      <c r="G50" s="1">
        <v>4</v>
      </c>
      <c r="H50" s="1">
        <v>4</v>
      </c>
    </row>
    <row r="51" spans="1:8" ht="30">
      <c r="A51" s="21"/>
      <c r="B51" s="26"/>
      <c r="C51" s="26"/>
      <c r="D51" s="21"/>
      <c r="E51" s="26"/>
      <c r="F51" s="5" t="s">
        <v>89</v>
      </c>
      <c r="G51" s="1">
        <v>5</v>
      </c>
      <c r="H51" s="1">
        <v>5</v>
      </c>
    </row>
    <row r="52" spans="1:8" ht="30">
      <c r="A52" s="21"/>
      <c r="B52" s="26"/>
      <c r="C52" s="26"/>
      <c r="D52" s="21"/>
      <c r="E52" s="26"/>
      <c r="F52" s="5" t="s">
        <v>90</v>
      </c>
      <c r="G52" s="1">
        <v>6</v>
      </c>
      <c r="H52" s="1">
        <v>6</v>
      </c>
    </row>
    <row r="53" spans="1:8" ht="45">
      <c r="A53" s="21">
        <v>220601501</v>
      </c>
      <c r="B53" s="52" t="s">
        <v>91</v>
      </c>
      <c r="C53" s="52" t="s">
        <v>92</v>
      </c>
      <c r="D53" s="21">
        <v>48</v>
      </c>
      <c r="E53" s="27" t="s">
        <v>35</v>
      </c>
      <c r="F53" s="5" t="s">
        <v>93</v>
      </c>
      <c r="G53" s="1">
        <v>4</v>
      </c>
      <c r="H53" s="1">
        <v>4</v>
      </c>
    </row>
    <row r="54" spans="1:8" ht="30">
      <c r="A54" s="21"/>
      <c r="B54" s="27"/>
      <c r="C54" s="27"/>
      <c r="D54" s="21"/>
      <c r="E54" s="27"/>
      <c r="F54" s="5" t="s">
        <v>94</v>
      </c>
      <c r="G54" s="1">
        <v>4</v>
      </c>
      <c r="H54" s="1">
        <v>4</v>
      </c>
    </row>
    <row r="55" spans="1:8" ht="30">
      <c r="A55" s="21"/>
      <c r="B55" s="27"/>
      <c r="C55" s="27"/>
      <c r="D55" s="21"/>
      <c r="E55" s="27"/>
      <c r="F55" s="5" t="s">
        <v>95</v>
      </c>
      <c r="G55" s="1">
        <v>4</v>
      </c>
      <c r="H55" s="1">
        <v>4</v>
      </c>
    </row>
    <row r="56" spans="1:8" ht="45">
      <c r="A56" s="21"/>
      <c r="B56" s="27"/>
      <c r="C56" s="27"/>
      <c r="D56" s="21"/>
      <c r="E56" s="27"/>
      <c r="F56" s="5" t="s">
        <v>96</v>
      </c>
      <c r="G56" s="1">
        <v>4</v>
      </c>
      <c r="H56" s="1">
        <v>4</v>
      </c>
    </row>
    <row r="57" spans="1:8">
      <c r="A57" s="21">
        <v>230101507</v>
      </c>
      <c r="B57" s="40" t="s">
        <v>97</v>
      </c>
      <c r="C57" s="40" t="s">
        <v>98</v>
      </c>
      <c r="D57" s="21">
        <v>48</v>
      </c>
      <c r="E57" s="28" t="s">
        <v>35</v>
      </c>
      <c r="F57" s="2" t="s">
        <v>99</v>
      </c>
      <c r="G57" s="1">
        <v>5</v>
      </c>
      <c r="H57" s="1">
        <v>5</v>
      </c>
    </row>
    <row r="58" spans="1:8">
      <c r="A58" s="21"/>
      <c r="B58" s="28"/>
      <c r="C58" s="28"/>
      <c r="D58" s="21"/>
      <c r="E58" s="28"/>
      <c r="F58" s="2" t="s">
        <v>100</v>
      </c>
      <c r="G58" s="1">
        <v>5</v>
      </c>
      <c r="H58" s="1">
        <v>5</v>
      </c>
    </row>
    <row r="59" spans="1:8" ht="30">
      <c r="A59" s="21"/>
      <c r="B59" s="28"/>
      <c r="C59" s="28"/>
      <c r="D59" s="21"/>
      <c r="E59" s="28"/>
      <c r="F59" s="5" t="s">
        <v>101</v>
      </c>
      <c r="G59" s="1">
        <v>5</v>
      </c>
      <c r="H59" s="1">
        <v>5</v>
      </c>
    </row>
    <row r="60" spans="1:8" ht="30">
      <c r="A60" s="21"/>
      <c r="B60" s="28"/>
      <c r="C60" s="28"/>
      <c r="D60" s="21"/>
      <c r="E60" s="28"/>
      <c r="F60" s="5" t="s">
        <v>102</v>
      </c>
      <c r="G60" s="1">
        <v>5</v>
      </c>
      <c r="H60" s="1">
        <v>5</v>
      </c>
    </row>
    <row r="61" spans="1:8" ht="30">
      <c r="A61" s="21">
        <v>240201529</v>
      </c>
      <c r="B61" s="41" t="s">
        <v>103</v>
      </c>
      <c r="C61" s="41" t="s">
        <v>104</v>
      </c>
      <c r="D61" s="21">
        <v>48</v>
      </c>
      <c r="E61" s="29" t="s">
        <v>35</v>
      </c>
      <c r="F61" s="5" t="s">
        <v>105</v>
      </c>
      <c r="G61" s="1">
        <v>5</v>
      </c>
      <c r="H61" s="1">
        <v>5</v>
      </c>
    </row>
    <row r="62" spans="1:8" ht="30">
      <c r="A62" s="21"/>
      <c r="B62" s="29"/>
      <c r="C62" s="29"/>
      <c r="D62" s="21"/>
      <c r="E62" s="29"/>
      <c r="F62" s="5" t="s">
        <v>106</v>
      </c>
      <c r="G62" s="1">
        <v>5</v>
      </c>
      <c r="H62" s="1">
        <v>5</v>
      </c>
    </row>
    <row r="63" spans="1:8" ht="30">
      <c r="A63" s="21"/>
      <c r="B63" s="29"/>
      <c r="C63" s="29"/>
      <c r="D63" s="21"/>
      <c r="E63" s="29"/>
      <c r="F63" s="5" t="s">
        <v>107</v>
      </c>
      <c r="G63" s="1">
        <v>5</v>
      </c>
      <c r="H63" s="1">
        <v>5</v>
      </c>
    </row>
    <row r="64" spans="1:8" ht="30">
      <c r="A64" s="21"/>
      <c r="B64" s="29"/>
      <c r="C64" s="29"/>
      <c r="D64" s="21"/>
      <c r="E64" s="29"/>
      <c r="F64" s="5" t="s">
        <v>108</v>
      </c>
      <c r="G64" s="1">
        <v>5</v>
      </c>
      <c r="H64" s="1">
        <v>5</v>
      </c>
    </row>
    <row r="65" spans="1:8" ht="30">
      <c r="A65" s="21">
        <v>210201501</v>
      </c>
      <c r="B65" s="42" t="s">
        <v>109</v>
      </c>
      <c r="C65" s="42" t="s">
        <v>110</v>
      </c>
      <c r="D65" s="21">
        <v>48</v>
      </c>
      <c r="E65" s="22" t="s">
        <v>35</v>
      </c>
      <c r="F65" s="5" t="s">
        <v>111</v>
      </c>
      <c r="G65" s="1">
        <v>5</v>
      </c>
      <c r="H65" s="1">
        <v>5</v>
      </c>
    </row>
    <row r="66" spans="1:8">
      <c r="A66" s="21"/>
      <c r="B66" s="22"/>
      <c r="C66" s="22"/>
      <c r="D66" s="21"/>
      <c r="E66" s="22"/>
      <c r="F66" s="5" t="s">
        <v>112</v>
      </c>
      <c r="G66" s="1">
        <v>5</v>
      </c>
      <c r="H66" s="1">
        <v>5</v>
      </c>
    </row>
    <row r="67" spans="1:8" ht="30">
      <c r="A67" s="21"/>
      <c r="B67" s="22"/>
      <c r="C67" s="22"/>
      <c r="D67" s="21"/>
      <c r="E67" s="22"/>
      <c r="F67" s="5" t="s">
        <v>113</v>
      </c>
      <c r="G67" s="1">
        <v>5</v>
      </c>
      <c r="H67" s="1">
        <v>5</v>
      </c>
    </row>
    <row r="68" spans="1:8">
      <c r="A68" s="21"/>
      <c r="B68" s="22"/>
      <c r="C68" s="22"/>
      <c r="D68" s="21"/>
      <c r="E68" s="22"/>
      <c r="F68" s="5" t="s">
        <v>114</v>
      </c>
      <c r="G68" s="1">
        <v>5</v>
      </c>
      <c r="H68" s="1">
        <v>5</v>
      </c>
    </row>
    <row r="69" spans="1:8" ht="30">
      <c r="A69" s="21">
        <v>220501097</v>
      </c>
      <c r="B69" s="43" t="s">
        <v>115</v>
      </c>
      <c r="C69" s="43" t="s">
        <v>116</v>
      </c>
      <c r="D69" s="21">
        <v>144</v>
      </c>
      <c r="E69" s="23" t="s">
        <v>10</v>
      </c>
      <c r="F69" s="5" t="s">
        <v>117</v>
      </c>
      <c r="G69" s="1" t="s">
        <v>12</v>
      </c>
      <c r="H69" s="1">
        <v>7</v>
      </c>
    </row>
    <row r="70" spans="1:8">
      <c r="A70" s="21"/>
      <c r="B70" s="23"/>
      <c r="C70" s="23"/>
      <c r="D70" s="21"/>
      <c r="E70" s="23"/>
      <c r="F70" s="2" t="s">
        <v>118</v>
      </c>
      <c r="G70" s="1">
        <v>7</v>
      </c>
      <c r="H70" s="1">
        <v>7</v>
      </c>
    </row>
    <row r="71" spans="1:8">
      <c r="A71" s="21"/>
      <c r="B71" s="23"/>
      <c r="C71" s="23"/>
      <c r="D71" s="21"/>
      <c r="E71" s="23"/>
      <c r="F71" s="2" t="s">
        <v>119</v>
      </c>
      <c r="G71" s="1">
        <v>6</v>
      </c>
      <c r="H71" s="1">
        <v>6</v>
      </c>
    </row>
    <row r="72" spans="1:8">
      <c r="A72" s="21"/>
      <c r="B72" s="23"/>
      <c r="C72" s="23"/>
      <c r="D72" s="21"/>
      <c r="E72" s="23"/>
      <c r="F72" s="2" t="s">
        <v>120</v>
      </c>
      <c r="G72" s="1">
        <v>6</v>
      </c>
      <c r="H72" s="1">
        <v>6</v>
      </c>
    </row>
    <row r="73" spans="1:8" ht="30">
      <c r="A73" s="21">
        <v>220501046</v>
      </c>
      <c r="B73" s="19" t="s">
        <v>134</v>
      </c>
      <c r="C73" s="24" t="s">
        <v>133</v>
      </c>
      <c r="D73" s="21">
        <v>48</v>
      </c>
      <c r="E73" s="24" t="s">
        <v>35</v>
      </c>
      <c r="F73" s="11" t="s">
        <v>129</v>
      </c>
      <c r="G73" s="1">
        <v>1</v>
      </c>
      <c r="H73" s="1">
        <v>1</v>
      </c>
    </row>
    <row r="74" spans="1:8" ht="30">
      <c r="A74" s="21"/>
      <c r="B74" s="20"/>
      <c r="C74" s="20"/>
      <c r="D74" s="21"/>
      <c r="E74" s="20"/>
      <c r="F74" s="11" t="s">
        <v>130</v>
      </c>
      <c r="G74" s="1">
        <v>1</v>
      </c>
      <c r="H74" s="1">
        <v>1</v>
      </c>
    </row>
    <row r="75" spans="1:8">
      <c r="A75" s="21"/>
      <c r="B75" s="20"/>
      <c r="C75" s="20"/>
      <c r="D75" s="21"/>
      <c r="E75" s="20"/>
      <c r="F75" s="12" t="s">
        <v>131</v>
      </c>
      <c r="G75" s="1">
        <v>1</v>
      </c>
      <c r="H75" s="1">
        <v>1</v>
      </c>
    </row>
    <row r="76" spans="1:8">
      <c r="A76" s="21"/>
      <c r="B76" s="20"/>
      <c r="C76" s="20"/>
      <c r="D76" s="21"/>
      <c r="E76" s="20"/>
      <c r="F76" s="12" t="s">
        <v>132</v>
      </c>
      <c r="G76" s="1">
        <v>1</v>
      </c>
      <c r="H76" s="1">
        <v>1</v>
      </c>
    </row>
    <row r="77" spans="1:8">
      <c r="B77" s="10"/>
      <c r="G77" s="10"/>
      <c r="H77" s="10"/>
    </row>
    <row r="79" spans="1:8" ht="30">
      <c r="B79" s="14" t="s">
        <v>125</v>
      </c>
      <c r="C79" s="15" t="s">
        <v>135</v>
      </c>
    </row>
    <row r="80" spans="1:8">
      <c r="A80" s="15" t="s">
        <v>124</v>
      </c>
      <c r="B80" s="13">
        <v>19</v>
      </c>
      <c r="C80" s="2"/>
    </row>
    <row r="81" spans="1:3">
      <c r="A81" s="12" t="s">
        <v>126</v>
      </c>
      <c r="B81" s="1">
        <v>7</v>
      </c>
      <c r="C81" s="2">
        <f>SUM(D69,D50,D39,,D12,D8,D3,D35,)</f>
        <v>2208</v>
      </c>
    </row>
    <row r="82" spans="1:3">
      <c r="A82" s="12" t="s">
        <v>128</v>
      </c>
      <c r="B82" s="1">
        <v>11</v>
      </c>
      <c r="C82" s="2">
        <f>SUM(D73,D65,D61,D57,D53,D46,D42,D31,D31,D27,D20,D16,)</f>
        <v>576</v>
      </c>
    </row>
    <row r="83" spans="1:3">
      <c r="A83" s="12" t="s">
        <v>127</v>
      </c>
      <c r="B83" s="1">
        <v>1</v>
      </c>
      <c r="C83" s="2">
        <v>384</v>
      </c>
    </row>
    <row r="84" spans="1:3">
      <c r="A84" s="16" t="s">
        <v>136</v>
      </c>
      <c r="B84" s="18">
        <v>1</v>
      </c>
    </row>
    <row r="85" spans="1:3">
      <c r="A85" s="17"/>
      <c r="B85" s="10"/>
    </row>
  </sheetData>
  <sortState xmlns:xlrd2="http://schemas.microsoft.com/office/spreadsheetml/2017/richdata2" ref="A3:D6">
    <sortCondition descending="1" ref="A3"/>
  </sortState>
  <mergeCells count="90">
    <mergeCell ref="A3:A7"/>
    <mergeCell ref="A8:A11"/>
    <mergeCell ref="A12:A15"/>
    <mergeCell ref="A16:A19"/>
    <mergeCell ref="A21:A26"/>
    <mergeCell ref="A61:A64"/>
    <mergeCell ref="A27:A30"/>
    <mergeCell ref="A31:A34"/>
    <mergeCell ref="A35:A38"/>
    <mergeCell ref="A39:A41"/>
    <mergeCell ref="A42:A45"/>
    <mergeCell ref="B46:B49"/>
    <mergeCell ref="B50:B52"/>
    <mergeCell ref="B53:B56"/>
    <mergeCell ref="B57:B60"/>
    <mergeCell ref="A46:A49"/>
    <mergeCell ref="A50:A52"/>
    <mergeCell ref="A53:A56"/>
    <mergeCell ref="A57:A60"/>
    <mergeCell ref="B27:B30"/>
    <mergeCell ref="B31:B34"/>
    <mergeCell ref="B35:B38"/>
    <mergeCell ref="B39:B41"/>
    <mergeCell ref="B42:B45"/>
    <mergeCell ref="B3:B7"/>
    <mergeCell ref="B8:B11"/>
    <mergeCell ref="B12:B15"/>
    <mergeCell ref="B16:B19"/>
    <mergeCell ref="B21:B26"/>
    <mergeCell ref="B61:B64"/>
    <mergeCell ref="B65:B68"/>
    <mergeCell ref="B69:B72"/>
    <mergeCell ref="C3:C7"/>
    <mergeCell ref="C8:C11"/>
    <mergeCell ref="C12:C15"/>
    <mergeCell ref="C16:C19"/>
    <mergeCell ref="C21:C26"/>
    <mergeCell ref="C27:C30"/>
    <mergeCell ref="C31:C34"/>
    <mergeCell ref="C35:C38"/>
    <mergeCell ref="C39:C41"/>
    <mergeCell ref="C42:C45"/>
    <mergeCell ref="C46:C49"/>
    <mergeCell ref="C50:C52"/>
    <mergeCell ref="C53:C56"/>
    <mergeCell ref="C57:C60"/>
    <mergeCell ref="C61:C64"/>
    <mergeCell ref="C65:C68"/>
    <mergeCell ref="C69:C72"/>
    <mergeCell ref="D3:D7"/>
    <mergeCell ref="D8:D11"/>
    <mergeCell ref="D12:D15"/>
    <mergeCell ref="D16:D19"/>
    <mergeCell ref="D21:D26"/>
    <mergeCell ref="D27:D30"/>
    <mergeCell ref="D31:D34"/>
    <mergeCell ref="D35:D38"/>
    <mergeCell ref="D39:D41"/>
    <mergeCell ref="D42:D45"/>
    <mergeCell ref="D46:D49"/>
    <mergeCell ref="D50:D52"/>
    <mergeCell ref="D53:D56"/>
    <mergeCell ref="D57:D60"/>
    <mergeCell ref="D61:D64"/>
    <mergeCell ref="D65:D68"/>
    <mergeCell ref="D69:D72"/>
    <mergeCell ref="E3:E7"/>
    <mergeCell ref="E8:E11"/>
    <mergeCell ref="E12:E15"/>
    <mergeCell ref="E16:E19"/>
    <mergeCell ref="E21:E26"/>
    <mergeCell ref="E27:E30"/>
    <mergeCell ref="E31:E34"/>
    <mergeCell ref="E35:E38"/>
    <mergeCell ref="E39:E41"/>
    <mergeCell ref="E42:E45"/>
    <mergeCell ref="E46:E49"/>
    <mergeCell ref="E50:E52"/>
    <mergeCell ref="E53:E56"/>
    <mergeCell ref="E57:E60"/>
    <mergeCell ref="E61:E64"/>
    <mergeCell ref="B73:B76"/>
    <mergeCell ref="A73:A76"/>
    <mergeCell ref="E65:E68"/>
    <mergeCell ref="E69:E72"/>
    <mergeCell ref="E73:E76"/>
    <mergeCell ref="C73:C76"/>
    <mergeCell ref="D73:D76"/>
    <mergeCell ref="A65:A68"/>
    <mergeCell ref="A69:A72"/>
  </mergeCells>
  <pageMargins left="0.75" right="0.75" top="1" bottom="1" header="0.5" footer="0.5"/>
  <ignoredErrors>
    <ignoredError sqref="G69 G3 G5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59C_92201014213</cp:lastModifiedBy>
  <dcterms:created xsi:type="dcterms:W3CDTF">2026-03-10T23:28:00Z</dcterms:created>
  <dcterms:modified xsi:type="dcterms:W3CDTF">2026-03-12T14:39:22Z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BAB6F46192014DD2B0E41E0C9C4B80B1_11</vt:lpwstr>
  </property>
  <property fmtid="{D5CDD505-2E9C-101B-9397-08002B2CF9AE}" pid="3" name="KSOProductBuildVer">
    <vt:lpwstr>2058-12.2.0.23196</vt:lpwstr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2026-03-12T12:25:18Z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08046bf4-1f1b-466b-8b73-a0f4fa69baea</vt:lpwstr>
  </property>
  <property fmtid="{D5CDD505-2E9C-101B-9397-08002B2CF9AE}" pid="10" name="MSIP_Label_fc111285-cafa-4fc9-8a9a-bd902089b24f_ContentBits">
    <vt:lpwstr>0</vt:lpwstr>
  </property>
  <property fmtid="{D5CDD505-2E9C-101B-9397-08002B2CF9AE}" pid="11" name="MSIP_Label_fc111285-cafa-4fc9-8a9a-bd902089b24f_Tag">
    <vt:lpwstr>10, 0, 1, 1</vt:lpwstr>
  </property>
</Properties>
</file>